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Методика" sheetId="1" state="visible" r:id="rId1"/>
    <sheet name="01 · Улан-Удэ" sheetId="2" state="visible" r:id="rId2"/>
    <sheet name="02 · Иркутск" sheetId="3" state="visible" r:id="rId3"/>
    <sheet name="03 · Сравнение" sheetId="4" state="visible" r:id="rId4"/>
    <sheet name="04 · Затраты детальн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A0B0D"/>
      <sz val="14"/>
    </font>
    <font>
      <name val="Calibri"/>
      <sz val="10"/>
    </font>
    <font>
      <name val="Calibri"/>
      <b val="1"/>
      <sz val="10"/>
    </font>
    <font>
      <name val="Calibri"/>
      <b val="1"/>
      <color rgb="000A0B0D"/>
      <sz val="11"/>
    </font>
    <font>
      <name val="Calibri"/>
      <i val="1"/>
      <color rgb="00667085"/>
      <sz val="9"/>
    </font>
    <font>
      <name val="Calibri"/>
      <b val="1"/>
      <color rgb="00FFFFFF"/>
      <sz val="11"/>
    </font>
    <font>
      <i val="1"/>
      <color rgb="00667085"/>
      <sz val="9"/>
    </font>
  </fonts>
  <fills count="7">
    <fill>
      <patternFill/>
    </fill>
    <fill>
      <patternFill patternType="gray125"/>
    </fill>
    <fill>
      <patternFill patternType="solid">
        <fgColor rgb="00E8EAED"/>
      </patternFill>
    </fill>
    <fill>
      <patternFill patternType="solid">
        <fgColor rgb="000A0B0D"/>
      </patternFill>
    </fill>
    <fill>
      <patternFill patternType="solid">
        <fgColor rgb="00D1E7DD"/>
      </patternFill>
    </fill>
    <fill>
      <patternFill patternType="solid">
        <fgColor rgb="00FFF8E7"/>
      </patternFill>
    </fill>
    <fill>
      <patternFill patternType="solid">
        <fgColor rgb="00CFE2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4" fillId="2" borderId="1" pivotButton="0" quotePrefix="0" xfId="0"/>
    <xf numFmtId="0" fontId="0" fillId="2" borderId="1" pivotButton="0" quotePrefix="0" xfId="0"/>
    <xf numFmtId="0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0" borderId="1" pivotButton="0" quotePrefix="0" xfId="0"/>
    <xf numFmtId="164" fontId="3" fillId="0" borderId="1" pivotButton="0" quotePrefix="0" xfId="0"/>
    <xf numFmtId="3" fontId="2" fillId="5" borderId="1" pivotButton="0" quotePrefix="0" xfId="0"/>
    <xf numFmtId="3" fontId="3" fillId="6" borderId="1" pivotButton="0" quotePrefix="0" xfId="0"/>
    <xf numFmtId="0" fontId="7" fillId="0" borderId="0" pivotButton="0" quotePrefix="0" xfId="0"/>
    <xf numFmtId="2" fontId="0" fillId="4" borderId="1" pivotButton="0" quotePrefix="0" xfId="0"/>
    <xf numFmtId="0" fontId="6" fillId="3" borderId="1" pivotButton="0" quotePrefix="0" xfId="0"/>
    <xf numFmtId="0" fontId="0" fillId="0" borderId="1" pivotButton="0" quotePrefix="0" xfId="0"/>
    <xf numFmtId="3" fontId="0" fillId="6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0" fillId="6" borderId="0" pivotButton="0" quotePrefix="0" xfId="0"/>
    <xf numFmtId="0" fontId="4" fillId="0" borderId="0" pivotButton="0" quotePrefix="0" xfId="0"/>
    <xf numFmtId="3" fontId="0" fillId="5" borderId="1" pivotButton="0" quotePrefix="0" xfId="0"/>
    <xf numFmtId="0" fontId="3" fillId="4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Улан-Удэ: чистая прибыль (без Lendo)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 · Улан-Удэ'!$B$3:$I$3</f>
            </numRef>
          </cat>
          <val>
            <numRef>
              <f>'01 · Улан-Удэ'!$B$22:$I$22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тыс. ₽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Иркутск: чистая прибыль (без Lendo)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'02 · Иркутск'!$B$3:$I$3</f>
            </numRef>
          </cat>
          <val>
            <numRef>
              <f>'02 · Иркутск'!$B$22:$I$22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тыс. ₽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Чистая прибыль: Улан-Удэ vs Иркутск (без Lendo)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 · Сравнение'!A4</f>
            </strRef>
          </tx>
          <spPr>
            <a:ln>
              <a:prstDash val="solid"/>
            </a:ln>
          </spPr>
          <cat>
            <numRef>
              <f>'03 · Сравнение'!$B$3:$I$3</f>
            </numRef>
          </cat>
          <val>
            <numRef>
              <f>'03 · Сравнение'!$B$4:$I$4</f>
            </numRef>
          </val>
        </ser>
        <ser>
          <idx val="1"/>
          <order val="1"/>
          <tx>
            <strRef>
              <f>'03 · Сравнение'!A5</f>
            </strRef>
          </tx>
          <spPr>
            <a:ln>
              <a:prstDash val="solid"/>
            </a:ln>
          </spPr>
          <cat>
            <numRef>
              <f>'03 · Сравнение'!$B$3:$I$3</f>
            </numRef>
          </cat>
          <val>
            <numRef>
              <f>'03 · Сравнение'!$B$5:$I$5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тыс. 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re:bar · P&amp;L факт-модель · Улан-Удэ / Иркутск · БЕЗ Lendo</t>
        </is>
      </c>
    </row>
    <row r="3">
      <c r="A3" s="2" t="inlineStr"/>
      <c r="B3" s="2" t="inlineStr"/>
    </row>
    <row r="4">
      <c r="A4" s="3" t="inlineStr">
        <is>
          <t>Назначение</t>
        </is>
      </c>
      <c r="B4" s="2" t="inlineStr">
        <is>
          <t>Финмодель для презентации партнёрам. Чистая прибыль — якорь (цифры собственника). Lendo НЕ включён.</t>
        </is>
      </c>
    </row>
    <row r="5">
      <c r="A5" s="3" t="inlineStr">
        <is>
          <t>Период</t>
        </is>
      </c>
      <c r="B5" s="2" t="inlineStr">
        <is>
          <t>Январь–август 2026</t>
        </is>
      </c>
    </row>
    <row r="6">
      <c r="A6" s="3" t="inlineStr">
        <is>
          <t>Города</t>
        </is>
      </c>
      <c r="B6" s="2" t="inlineStr">
        <is>
          <t>Улан-Удэ (флагман) · Иркутск (стандарт)</t>
        </is>
      </c>
    </row>
    <row r="7">
      <c r="A7" s="2" t="inlineStr"/>
      <c r="B7" s="2" t="inlineStr"/>
    </row>
    <row r="8">
      <c r="A8" s="4" t="inlineStr">
        <is>
          <t>ЛОГИКА РАСЧЁТА</t>
        </is>
      </c>
      <c r="B8" s="2" t="inlineStr"/>
    </row>
    <row r="9">
      <c r="A9" s="3" t="inlineStr">
        <is>
          <t>1. Якорь</t>
        </is>
      </c>
      <c r="B9" s="2" t="inlineStr">
        <is>
          <t>Чистая прибыль розницы задана фактом по месяцам.</t>
        </is>
      </c>
    </row>
    <row r="10">
      <c r="A10" s="3" t="inlineStr">
        <is>
          <t>2. OpEx</t>
        </is>
      </c>
      <c r="B10" s="2" t="inlineStr">
        <is>
          <t>Аренда 100к; ФОТ 250–350к; Реклама+Avito 100–150к; Связь+интернет 15к; Хознужды 10к.</t>
        </is>
      </c>
    </row>
    <row r="11">
      <c r="A11" s="3" t="inlineStr">
        <is>
          <t>3. Налоги</t>
        </is>
      </c>
      <c r="B11" s="2" t="inlineStr">
        <is>
          <t>ТОЛЬКО безнал: р/с (онлайн), кредит/рассрочка, терминал.</t>
        </is>
      </c>
    </row>
    <row r="12">
      <c r="A12" s="3" t="inlineStr">
        <is>
          <t>4. Выручка</t>
        </is>
      </c>
      <c r="B12" s="2" t="inlineStr">
        <is>
          <t>Выручка = (Чистая + OpEx) / (Валовая маржа − доля_безнала × ставка_безнала).</t>
        </is>
      </c>
    </row>
    <row r="13">
      <c r="A13" s="3" t="inlineStr">
        <is>
          <t>5. Lendo</t>
        </is>
      </c>
      <c r="B13" s="2" t="inlineStr">
        <is>
          <t>Исключён из этой версии по решению founder.</t>
        </is>
      </c>
    </row>
    <row r="14">
      <c r="A14" s="2" t="inlineStr"/>
      <c r="B14" s="2" t="inlineStr"/>
    </row>
    <row r="15">
      <c r="A15" s="4" t="inlineStr">
        <is>
          <t>ДОПУЩЕНИЯ</t>
        </is>
      </c>
      <c r="B15" s="2" t="inlineStr"/>
    </row>
    <row r="16">
      <c r="A16" s="3" t="inlineStr">
        <is>
          <t>Валовая маржа</t>
        </is>
      </c>
      <c r="B16" s="2" t="inlineStr">
        <is>
          <t>УУ ~19–22% · Ирк ~18.5–21.5% от оборота.</t>
        </is>
      </c>
    </row>
    <row r="17">
      <c r="A17" s="3" t="inlineStr">
        <is>
          <t>Доля безнала</t>
        </is>
      </c>
      <c r="B17" s="2" t="inlineStr">
        <is>
          <t>УУ ~47–55% · Ирк ~45–52%.</t>
        </is>
      </c>
    </row>
    <row r="18">
      <c r="A18" s="3" t="inlineStr">
        <is>
          <t>Эфф. ставка безнала</t>
        </is>
      </c>
      <c r="B18" s="2" t="inlineStr">
        <is>
          <t>~4.3–4.8% от безнальной выручки.</t>
        </is>
      </c>
    </row>
    <row r="19">
      <c r="A19" s="3" t="inlineStr">
        <is>
          <t>Иркутск vs УУ</t>
        </is>
      </c>
      <c r="B19" s="2" t="inlineStr">
        <is>
          <t>Аренда/ФОТ/реклама: разница 10–15 тыс ₽. Чистая 400–650к.</t>
        </is>
      </c>
    </row>
    <row r="20">
      <c r="A20" s="3" t="inlineStr">
        <is>
          <t>Важно</t>
        </is>
      </c>
      <c r="B20" s="2" t="inlineStr">
        <is>
          <t>Управленческий P&amp;L, не бухотчётность 1С.</t>
        </is>
      </c>
    </row>
    <row r="21">
      <c r="A21" s="2" t="inlineStr"/>
      <c r="B21" s="2" t="inlineStr"/>
    </row>
    <row r="22">
      <c r="A22" s="3" t="inlineStr">
        <is>
          <t>УУ чистая (якорь)</t>
        </is>
      </c>
      <c r="B22" s="2" t="inlineStr">
        <is>
          <t>890 / 900 / 1100 / 780 / 750 / 850 / 950 / 980</t>
        </is>
      </c>
    </row>
    <row r="23">
      <c r="A23" s="3" t="inlineStr">
        <is>
          <t>Ирк чистая (якорь)</t>
        </is>
      </c>
      <c r="B23" s="2" t="inlineStr">
        <is>
          <t>500 / 510 / 650 / 420 / 400 / 470 / 545 / 565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Улан-Удэ · P&amp;L янв–авг 2026 (без Lendo)</t>
        </is>
      </c>
    </row>
    <row r="2">
      <c r="A2" s="5" t="inlineStr">
        <is>
          <t>Ед.: тыс. ₽ · янв–авг 2026 · Без Lendo · Чистая = якорь. Жёлтые = вводные затраты.</t>
        </is>
      </c>
    </row>
    <row r="3">
      <c r="A3" s="6" t="inlineStr">
        <is>
          <t>Статья</t>
        </is>
      </c>
      <c r="B3" s="6" t="inlineStr">
        <is>
          <t>Янв</t>
        </is>
      </c>
      <c r="C3" s="6" t="inlineStr">
        <is>
          <t>Фев</t>
        </is>
      </c>
      <c r="D3" s="6" t="inlineStr">
        <is>
          <t>Мар</t>
        </is>
      </c>
      <c r="E3" s="6" t="inlineStr">
        <is>
          <t>Апр</t>
        </is>
      </c>
      <c r="F3" s="6" t="inlineStr">
        <is>
          <t>Май</t>
        </is>
      </c>
      <c r="G3" s="6" t="inlineStr">
        <is>
          <t>Июн</t>
        </is>
      </c>
      <c r="H3" s="6" t="inlineStr">
        <is>
          <t>Июл</t>
        </is>
      </c>
      <c r="I3" s="6" t="inlineStr">
        <is>
          <t>Авг</t>
        </is>
      </c>
      <c r="J3" s="6" t="inlineStr">
        <is>
          <t>Итого</t>
        </is>
      </c>
      <c r="K3" s="6" t="inlineStr">
        <is>
          <t>Средн./мес</t>
        </is>
      </c>
    </row>
    <row r="4">
      <c r="A4" s="7" t="inlineStr">
        <is>
          <t>ВЫРУЧКА И СЕБЕСТОИМОСТЬ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inlineStr">
        <is>
          <t>Выручка (оборот)</t>
        </is>
      </c>
      <c r="B5" s="10" t="n">
        <v>7931.6</v>
      </c>
      <c r="C5" s="10" t="n">
        <v>7890.4</v>
      </c>
      <c r="D5" s="10" t="n">
        <v>8832.6</v>
      </c>
      <c r="E5" s="10" t="n">
        <v>7719</v>
      </c>
      <c r="F5" s="10" t="n">
        <v>7412</v>
      </c>
      <c r="G5" s="10" t="n">
        <v>7859.2</v>
      </c>
      <c r="H5" s="10" t="n">
        <v>8249.1</v>
      </c>
      <c r="I5" s="10" t="n">
        <v>8311.9</v>
      </c>
      <c r="J5" s="11" t="n">
        <v>64205.8</v>
      </c>
      <c r="K5" s="11" t="n">
        <v>8025.7</v>
      </c>
    </row>
    <row r="6">
      <c r="A6" s="9" t="inlineStr">
        <is>
          <t xml:space="preserve">  в т.ч. наличные</t>
        </is>
      </c>
      <c r="B6" s="10" t="n">
        <v>4124.4</v>
      </c>
      <c r="C6" s="10" t="n">
        <v>3945.2</v>
      </c>
      <c r="D6" s="10" t="n">
        <v>3974.7</v>
      </c>
      <c r="E6" s="10" t="n">
        <v>3936.7</v>
      </c>
      <c r="F6" s="10" t="n">
        <v>3928.4</v>
      </c>
      <c r="G6" s="10" t="n">
        <v>3929.6</v>
      </c>
      <c r="H6" s="10" t="n">
        <v>3959.6</v>
      </c>
      <c r="I6" s="10" t="n">
        <v>3906.6</v>
      </c>
      <c r="J6" s="11" t="n">
        <v>31705.2</v>
      </c>
      <c r="K6" s="11" t="n">
        <v>3963.1</v>
      </c>
    </row>
    <row r="7">
      <c r="A7" s="9" t="inlineStr">
        <is>
          <t xml:space="preserve">  в т.ч. безнал (р/с + кредит/рассрочка + терминал)</t>
        </is>
      </c>
      <c r="B7" s="10" t="n">
        <v>3807.2</v>
      </c>
      <c r="C7" s="10" t="n">
        <v>3945.2</v>
      </c>
      <c r="D7" s="10" t="n">
        <v>4858</v>
      </c>
      <c r="E7" s="10" t="n">
        <v>3782.3</v>
      </c>
      <c r="F7" s="10" t="n">
        <v>3483.6</v>
      </c>
      <c r="G7" s="10" t="n">
        <v>3929.6</v>
      </c>
      <c r="H7" s="10" t="n">
        <v>4289.6</v>
      </c>
      <c r="I7" s="10" t="n">
        <v>4405.3</v>
      </c>
      <c r="J7" s="11" t="n">
        <v>32500.8</v>
      </c>
      <c r="K7" s="11" t="n">
        <v>4062.6</v>
      </c>
    </row>
    <row r="8">
      <c r="A8" s="9" t="inlineStr">
        <is>
          <t>Себестоимость товара (−)</t>
        </is>
      </c>
      <c r="B8" s="10" t="n">
        <v>6345.3</v>
      </c>
      <c r="C8" s="10" t="n">
        <v>6272.9</v>
      </c>
      <c r="D8" s="10" t="n">
        <v>6889.5</v>
      </c>
      <c r="E8" s="10" t="n">
        <v>6213.8</v>
      </c>
      <c r="F8" s="10" t="n">
        <v>6003.7</v>
      </c>
      <c r="G8" s="10" t="n">
        <v>6287.3</v>
      </c>
      <c r="H8" s="10" t="n">
        <v>6516.8</v>
      </c>
      <c r="I8" s="10" t="n">
        <v>6524.8</v>
      </c>
      <c r="J8" s="11" t="n">
        <v>51054.1</v>
      </c>
      <c r="K8" s="11" t="n">
        <v>6381.8</v>
      </c>
    </row>
    <row r="9">
      <c r="A9" s="12" t="inlineStr">
        <is>
          <t>Валовая прибыль</t>
        </is>
      </c>
      <c r="B9" s="13" t="n">
        <v>1586.3</v>
      </c>
      <c r="C9" s="13" t="n">
        <v>1617.5</v>
      </c>
      <c r="D9" s="13" t="n">
        <v>1943.2</v>
      </c>
      <c r="E9" s="13" t="n">
        <v>1505.2</v>
      </c>
      <c r="F9" s="13" t="n">
        <v>1408.3</v>
      </c>
      <c r="G9" s="13" t="n">
        <v>1571.8</v>
      </c>
      <c r="H9" s="13" t="n">
        <v>1732.3</v>
      </c>
      <c r="I9" s="13" t="n">
        <v>1787</v>
      </c>
      <c r="J9" s="13" t="n">
        <v>13151.6</v>
      </c>
      <c r="K9" s="13" t="n">
        <v>1643.9</v>
      </c>
    </row>
    <row r="10">
      <c r="A10" s="9" t="inlineStr">
        <is>
          <t>Валовая маржа, %</t>
        </is>
      </c>
      <c r="B10" s="14" t="n">
        <v>0.2</v>
      </c>
      <c r="C10" s="14" t="n">
        <v>0.205</v>
      </c>
      <c r="D10" s="14" t="n">
        <v>0.22</v>
      </c>
      <c r="E10" s="14" t="n">
        <v>0.195</v>
      </c>
      <c r="F10" s="14" t="n">
        <v>0.19</v>
      </c>
      <c r="G10" s="14" t="n">
        <v>0.2</v>
      </c>
      <c r="H10" s="14" t="n">
        <v>0.21</v>
      </c>
      <c r="I10" s="14" t="n">
        <v>0.215</v>
      </c>
      <c r="J10" s="15" t="n">
        <v>0.204375</v>
      </c>
      <c r="K10" s="15" t="n">
        <v>0.204375</v>
      </c>
    </row>
    <row r="11">
      <c r="A11" s="7" t="inlineStr">
        <is>
          <t>ОПЕРАЦИОННЫЕ РАСХОДЫ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Аренда</t>
        </is>
      </c>
      <c r="B12" s="16" t="n">
        <v>100</v>
      </c>
      <c r="C12" s="16" t="n">
        <v>100</v>
      </c>
      <c r="D12" s="16" t="n">
        <v>100</v>
      </c>
      <c r="E12" s="16" t="n">
        <v>100</v>
      </c>
      <c r="F12" s="16" t="n">
        <v>100</v>
      </c>
      <c r="G12" s="16" t="n">
        <v>100</v>
      </c>
      <c r="H12" s="16" t="n">
        <v>100</v>
      </c>
      <c r="I12" s="16" t="n">
        <v>100</v>
      </c>
      <c r="J12" s="11" t="n">
        <v>800</v>
      </c>
      <c r="K12" s="11" t="n">
        <v>100</v>
      </c>
    </row>
    <row r="13">
      <c r="A13" s="9" t="inlineStr">
        <is>
          <t>ФОТ (сотрудники)</t>
        </is>
      </c>
      <c r="B13" s="16" t="n">
        <v>280</v>
      </c>
      <c r="C13" s="16" t="n">
        <v>290</v>
      </c>
      <c r="D13" s="16" t="n">
        <v>340</v>
      </c>
      <c r="E13" s="16" t="n">
        <v>300</v>
      </c>
      <c r="F13" s="16" t="n">
        <v>270</v>
      </c>
      <c r="G13" s="16" t="n">
        <v>300</v>
      </c>
      <c r="H13" s="16" t="n">
        <v>320</v>
      </c>
      <c r="I13" s="16" t="n">
        <v>330</v>
      </c>
      <c r="J13" s="11" t="n">
        <v>2430</v>
      </c>
      <c r="K13" s="11" t="n">
        <v>303.8</v>
      </c>
    </row>
    <row r="14">
      <c r="A14" s="9" t="inlineStr">
        <is>
          <t>Реклама (вкл. Avito)</t>
        </is>
      </c>
      <c r="B14" s="16" t="n">
        <v>120</v>
      </c>
      <c r="C14" s="16" t="n">
        <v>125</v>
      </c>
      <c r="D14" s="16" t="n">
        <v>145</v>
      </c>
      <c r="E14" s="16" t="n">
        <v>130</v>
      </c>
      <c r="F14" s="16" t="n">
        <v>110</v>
      </c>
      <c r="G14" s="16" t="n">
        <v>120</v>
      </c>
      <c r="H14" s="16" t="n">
        <v>140</v>
      </c>
      <c r="I14" s="16" t="n">
        <v>145</v>
      </c>
      <c r="J14" s="11" t="n">
        <v>1035</v>
      </c>
      <c r="K14" s="11" t="n">
        <v>129.4</v>
      </c>
    </row>
    <row r="15">
      <c r="A15" s="9" t="inlineStr">
        <is>
          <t>Связь и интернет</t>
        </is>
      </c>
      <c r="B15" s="16" t="n">
        <v>15</v>
      </c>
      <c r="C15" s="16" t="n">
        <v>15</v>
      </c>
      <c r="D15" s="16" t="n">
        <v>15</v>
      </c>
      <c r="E15" s="16" t="n">
        <v>15</v>
      </c>
      <c r="F15" s="16" t="n">
        <v>15</v>
      </c>
      <c r="G15" s="16" t="n">
        <v>15</v>
      </c>
      <c r="H15" s="16" t="n">
        <v>15</v>
      </c>
      <c r="I15" s="16" t="n">
        <v>15</v>
      </c>
      <c r="J15" s="11" t="n">
        <v>120</v>
      </c>
      <c r="K15" s="11" t="n">
        <v>15</v>
      </c>
    </row>
    <row r="16">
      <c r="A16" s="9" t="inlineStr">
        <is>
          <t>Хознужды / прочее</t>
        </is>
      </c>
      <c r="B16" s="16" t="n">
        <v>10</v>
      </c>
      <c r="C16" s="16" t="n">
        <v>10</v>
      </c>
      <c r="D16" s="16" t="n">
        <v>10</v>
      </c>
      <c r="E16" s="16" t="n">
        <v>10</v>
      </c>
      <c r="F16" s="16" t="n">
        <v>10</v>
      </c>
      <c r="G16" s="16" t="n">
        <v>10</v>
      </c>
      <c r="H16" s="16" t="n">
        <v>10</v>
      </c>
      <c r="I16" s="16" t="n">
        <v>10</v>
      </c>
      <c r="J16" s="11" t="n">
        <v>80</v>
      </c>
      <c r="K16" s="11" t="n">
        <v>10</v>
      </c>
    </row>
    <row r="17">
      <c r="A17" s="12" t="inlineStr">
        <is>
          <t>Итого OpEx</t>
        </is>
      </c>
      <c r="B17" s="13" t="n">
        <v>525</v>
      </c>
      <c r="C17" s="13" t="n">
        <v>540</v>
      </c>
      <c r="D17" s="13" t="n">
        <v>610</v>
      </c>
      <c r="E17" s="13" t="n">
        <v>555</v>
      </c>
      <c r="F17" s="13" t="n">
        <v>505</v>
      </c>
      <c r="G17" s="13" t="n">
        <v>545</v>
      </c>
      <c r="H17" s="13" t="n">
        <v>585</v>
      </c>
      <c r="I17" s="13" t="n">
        <v>600</v>
      </c>
      <c r="J17" s="13" t="n">
        <v>4465</v>
      </c>
      <c r="K17" s="13" t="n">
        <v>558.1</v>
      </c>
    </row>
    <row r="18">
      <c r="A18" s="7" t="inlineStr">
        <is>
          <t>НАЛОГИ И КОМИССИИ (только безнал)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9" t="inlineStr">
        <is>
          <t>Доля безнала в выручке, %</t>
        </is>
      </c>
      <c r="B19" s="14" t="n">
        <v>0.48</v>
      </c>
      <c r="C19" s="14" t="n">
        <v>0.5</v>
      </c>
      <c r="D19" s="14" t="n">
        <v>0.55</v>
      </c>
      <c r="E19" s="14" t="n">
        <v>0.49</v>
      </c>
      <c r="F19" s="14" t="n">
        <v>0.47</v>
      </c>
      <c r="G19" s="14" t="n">
        <v>0.5</v>
      </c>
      <c r="H19" s="14" t="n">
        <v>0.52</v>
      </c>
      <c r="I19" s="14" t="n">
        <v>0.53</v>
      </c>
      <c r="J19" s="15" t="n">
        <v>0.505</v>
      </c>
      <c r="K19" s="15" t="n">
        <v>0.505</v>
      </c>
    </row>
    <row r="20">
      <c r="A20" s="9" t="inlineStr">
        <is>
          <t>Эфф. ставка на безнал (эквайринг+налог), %</t>
        </is>
      </c>
      <c r="B20" s="14" t="n">
        <v>0.045</v>
      </c>
      <c r="C20" s="14" t="n">
        <v>0.045</v>
      </c>
      <c r="D20" s="14" t="n">
        <v>0.048</v>
      </c>
      <c r="E20" s="14" t="n">
        <v>0.045</v>
      </c>
      <c r="F20" s="14" t="n">
        <v>0.044</v>
      </c>
      <c r="G20" s="14" t="n">
        <v>0.045</v>
      </c>
      <c r="H20" s="14" t="n">
        <v>0.046</v>
      </c>
      <c r="I20" s="14" t="n">
        <v>0.047</v>
      </c>
      <c r="J20" s="15" t="n">
        <v>0.04562499999999999</v>
      </c>
      <c r="K20" s="15" t="n">
        <v>0.04562499999999999</v>
      </c>
    </row>
    <row r="21">
      <c r="A21" s="9" t="inlineStr">
        <is>
          <t>Налоги/эквайринг с безнала (−)</t>
        </is>
      </c>
      <c r="B21" s="10" t="n">
        <v>171.3</v>
      </c>
      <c r="C21" s="10" t="n">
        <v>177.5</v>
      </c>
      <c r="D21" s="10" t="n">
        <v>233.2</v>
      </c>
      <c r="E21" s="10" t="n">
        <v>170.2</v>
      </c>
      <c r="F21" s="10" t="n">
        <v>153.3</v>
      </c>
      <c r="G21" s="10" t="n">
        <v>176.8</v>
      </c>
      <c r="H21" s="10" t="n">
        <v>197.3</v>
      </c>
      <c r="I21" s="10" t="n">
        <v>207</v>
      </c>
      <c r="J21" s="11" t="n">
        <v>1486.6</v>
      </c>
      <c r="K21" s="11" t="n">
        <v>185.8</v>
      </c>
    </row>
    <row r="22">
      <c r="A22" s="12" t="inlineStr">
        <is>
          <t>ЧИСТАЯ ПРИБЫЛЬ</t>
        </is>
      </c>
      <c r="B22" s="17" t="n">
        <v>890</v>
      </c>
      <c r="C22" s="17" t="n">
        <v>900</v>
      </c>
      <c r="D22" s="17" t="n">
        <v>1100</v>
      </c>
      <c r="E22" s="17" t="n">
        <v>780</v>
      </c>
      <c r="F22" s="17" t="n">
        <v>750</v>
      </c>
      <c r="G22" s="17" t="n">
        <v>850</v>
      </c>
      <c r="H22" s="17" t="n">
        <v>950</v>
      </c>
      <c r="I22" s="17" t="n">
        <v>980</v>
      </c>
      <c r="J22" s="17" t="n">
        <v>7200</v>
      </c>
      <c r="K22" s="17" t="n">
        <v>900</v>
      </c>
    </row>
    <row r="24">
      <c r="A24" s="18" t="inlineStr">
        <is>
          <t>КОНТРОЛЬ: Валовая − OpEx − Налог безнала = Чистая · проверка ≈ 0</t>
        </is>
      </c>
    </row>
    <row r="25">
      <c r="A25" s="2" t="inlineStr">
        <is>
          <t>Проверка (тыс ₽)</t>
        </is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Иркутск · P&amp;L янв–авг 2026 (без Lendo)</t>
        </is>
      </c>
    </row>
    <row r="2">
      <c r="A2" s="5" t="inlineStr">
        <is>
          <t>Ед.: тыс. ₽ · янв–авг 2026 · Без Lendo · Чистая = якорь. Жёлтые = вводные затраты.</t>
        </is>
      </c>
    </row>
    <row r="3">
      <c r="A3" s="6" t="inlineStr">
        <is>
          <t>Статья</t>
        </is>
      </c>
      <c r="B3" s="6" t="inlineStr">
        <is>
          <t>Янв</t>
        </is>
      </c>
      <c r="C3" s="6" t="inlineStr">
        <is>
          <t>Фев</t>
        </is>
      </c>
      <c r="D3" s="6" t="inlineStr">
        <is>
          <t>Мар</t>
        </is>
      </c>
      <c r="E3" s="6" t="inlineStr">
        <is>
          <t>Апр</t>
        </is>
      </c>
      <c r="F3" s="6" t="inlineStr">
        <is>
          <t>Май</t>
        </is>
      </c>
      <c r="G3" s="6" t="inlineStr">
        <is>
          <t>Июн</t>
        </is>
      </c>
      <c r="H3" s="6" t="inlineStr">
        <is>
          <t>Июл</t>
        </is>
      </c>
      <c r="I3" s="6" t="inlineStr">
        <is>
          <t>Авг</t>
        </is>
      </c>
      <c r="J3" s="6" t="inlineStr">
        <is>
          <t>Итого</t>
        </is>
      </c>
      <c r="K3" s="6" t="inlineStr">
        <is>
          <t>Средн./мес</t>
        </is>
      </c>
    </row>
    <row r="4">
      <c r="A4" s="7" t="inlineStr">
        <is>
          <t>ВЫРУЧКА И СЕБЕСТОИМОСТЬ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inlineStr">
        <is>
          <t>Выручка (оборот)</t>
        </is>
      </c>
      <c r="B5" s="10" t="n">
        <v>5636.3</v>
      </c>
      <c r="C5" s="10" t="n">
        <v>5646.2</v>
      </c>
      <c r="D5" s="10" t="n">
        <v>6375.9</v>
      </c>
      <c r="E5" s="10" t="n">
        <v>5522.1</v>
      </c>
      <c r="F5" s="10" t="n">
        <v>5221.9</v>
      </c>
      <c r="G5" s="10" t="n">
        <v>5607.3</v>
      </c>
      <c r="H5" s="10" t="n">
        <v>5945.2</v>
      </c>
      <c r="I5" s="10" t="n">
        <v>6004.1</v>
      </c>
      <c r="J5" s="11" t="n">
        <v>45959</v>
      </c>
      <c r="K5" s="11" t="n">
        <v>5744.9</v>
      </c>
    </row>
    <row r="6">
      <c r="A6" s="9" t="inlineStr">
        <is>
          <t xml:space="preserve">  в т.ч. наличные</t>
        </is>
      </c>
      <c r="B6" s="10" t="n">
        <v>3043.6</v>
      </c>
      <c r="C6" s="10" t="n">
        <v>2936</v>
      </c>
      <c r="D6" s="10" t="n">
        <v>3060.5</v>
      </c>
      <c r="E6" s="10" t="n">
        <v>2926.7</v>
      </c>
      <c r="F6" s="10" t="n">
        <v>2872</v>
      </c>
      <c r="G6" s="10" t="n">
        <v>2915.8</v>
      </c>
      <c r="H6" s="10" t="n">
        <v>2972.6</v>
      </c>
      <c r="I6" s="10" t="n">
        <v>2942</v>
      </c>
      <c r="J6" s="11" t="n">
        <v>23669.2</v>
      </c>
      <c r="K6" s="11" t="n">
        <v>2958.6</v>
      </c>
    </row>
    <row r="7">
      <c r="A7" s="9" t="inlineStr">
        <is>
          <t xml:space="preserve">  в т.ч. безнал (р/с + кредит/рассрочка + терминал)</t>
        </is>
      </c>
      <c r="B7" s="10" t="n">
        <v>2592.7</v>
      </c>
      <c r="C7" s="10" t="n">
        <v>2710.2</v>
      </c>
      <c r="D7" s="10" t="n">
        <v>3315.5</v>
      </c>
      <c r="E7" s="10" t="n">
        <v>2595.4</v>
      </c>
      <c r="F7" s="10" t="n">
        <v>2349.8</v>
      </c>
      <c r="G7" s="10" t="n">
        <v>2691.5</v>
      </c>
      <c r="H7" s="10" t="n">
        <v>2972.6</v>
      </c>
      <c r="I7" s="10" t="n">
        <v>3062.1</v>
      </c>
      <c r="J7" s="11" t="n">
        <v>22289.8</v>
      </c>
      <c r="K7" s="11" t="n">
        <v>2786.2</v>
      </c>
    </row>
    <row r="8">
      <c r="A8" s="9" t="inlineStr">
        <is>
          <t>Себестоимость товара (−)</t>
        </is>
      </c>
      <c r="B8" s="10" t="n">
        <v>4537.2</v>
      </c>
      <c r="C8" s="10" t="n">
        <v>4517</v>
      </c>
      <c r="D8" s="10" t="n">
        <v>5005.1</v>
      </c>
      <c r="E8" s="10" t="n">
        <v>4472.9</v>
      </c>
      <c r="F8" s="10" t="n">
        <v>4255.8</v>
      </c>
      <c r="G8" s="10" t="n">
        <v>4513.9</v>
      </c>
      <c r="H8" s="10" t="n">
        <v>4726.4</v>
      </c>
      <c r="I8" s="10" t="n">
        <v>4743.2</v>
      </c>
      <c r="J8" s="11" t="n">
        <v>36771.5</v>
      </c>
      <c r="K8" s="11" t="n">
        <v>4596.4</v>
      </c>
    </row>
    <row r="9">
      <c r="A9" s="12" t="inlineStr">
        <is>
          <t>Валовая прибыль</t>
        </is>
      </c>
      <c r="B9" s="13" t="n">
        <v>1099.1</v>
      </c>
      <c r="C9" s="13" t="n">
        <v>1129.2</v>
      </c>
      <c r="D9" s="13" t="n">
        <v>1370.8</v>
      </c>
      <c r="E9" s="13" t="n">
        <v>1049.2</v>
      </c>
      <c r="F9" s="13" t="n">
        <v>966</v>
      </c>
      <c r="G9" s="13" t="n">
        <v>1093.4</v>
      </c>
      <c r="H9" s="13" t="n">
        <v>1218.8</v>
      </c>
      <c r="I9" s="13" t="n">
        <v>1260.9</v>
      </c>
      <c r="J9" s="13" t="n">
        <v>9187.4</v>
      </c>
      <c r="K9" s="13" t="n">
        <v>1148.4</v>
      </c>
    </row>
    <row r="10">
      <c r="A10" s="9" t="inlineStr">
        <is>
          <t>Валовая маржа, %</t>
        </is>
      </c>
      <c r="B10" s="14" t="n">
        <v>0.195</v>
      </c>
      <c r="C10" s="14" t="n">
        <v>0.2</v>
      </c>
      <c r="D10" s="14" t="n">
        <v>0.215</v>
      </c>
      <c r="E10" s="14" t="n">
        <v>0.19</v>
      </c>
      <c r="F10" s="14" t="n">
        <v>0.185</v>
      </c>
      <c r="G10" s="14" t="n">
        <v>0.195</v>
      </c>
      <c r="H10" s="14" t="n">
        <v>0.205</v>
      </c>
      <c r="I10" s="14" t="n">
        <v>0.21</v>
      </c>
      <c r="J10" s="15" t="n">
        <v>0.199375</v>
      </c>
      <c r="K10" s="15" t="n">
        <v>0.199375</v>
      </c>
    </row>
    <row r="11">
      <c r="A11" s="7" t="inlineStr">
        <is>
          <t>ОПЕРАЦИОННЫЕ РАСХОДЫ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Аренда</t>
        </is>
      </c>
      <c r="B12" s="16" t="n">
        <v>90</v>
      </c>
      <c r="C12" s="16" t="n">
        <v>90</v>
      </c>
      <c r="D12" s="16" t="n">
        <v>90</v>
      </c>
      <c r="E12" s="16" t="n">
        <v>90</v>
      </c>
      <c r="F12" s="16" t="n">
        <v>90</v>
      </c>
      <c r="G12" s="16" t="n">
        <v>90</v>
      </c>
      <c r="H12" s="16" t="n">
        <v>90</v>
      </c>
      <c r="I12" s="16" t="n">
        <v>90</v>
      </c>
      <c r="J12" s="11" t="n">
        <v>720</v>
      </c>
      <c r="K12" s="11" t="n">
        <v>90</v>
      </c>
    </row>
    <row r="13">
      <c r="A13" s="9" t="inlineStr">
        <is>
          <t>ФОТ (сотрудники)</t>
        </is>
      </c>
      <c r="B13" s="16" t="n">
        <v>265</v>
      </c>
      <c r="C13" s="16" t="n">
        <v>275</v>
      </c>
      <c r="D13" s="16" t="n">
        <v>325</v>
      </c>
      <c r="E13" s="16" t="n">
        <v>285</v>
      </c>
      <c r="F13" s="16" t="n">
        <v>255</v>
      </c>
      <c r="G13" s="16" t="n">
        <v>285</v>
      </c>
      <c r="H13" s="16" t="n">
        <v>305</v>
      </c>
      <c r="I13" s="16" t="n">
        <v>315</v>
      </c>
      <c r="J13" s="11" t="n">
        <v>2310</v>
      </c>
      <c r="K13" s="11" t="n">
        <v>288.8</v>
      </c>
    </row>
    <row r="14">
      <c r="A14" s="9" t="inlineStr">
        <is>
          <t>Реклама (вкл. Avito)</t>
        </is>
      </c>
      <c r="B14" s="16" t="n">
        <v>110</v>
      </c>
      <c r="C14" s="16" t="n">
        <v>115</v>
      </c>
      <c r="D14" s="16" t="n">
        <v>130</v>
      </c>
      <c r="E14" s="16" t="n">
        <v>120</v>
      </c>
      <c r="F14" s="16" t="n">
        <v>100</v>
      </c>
      <c r="G14" s="16" t="n">
        <v>110</v>
      </c>
      <c r="H14" s="16" t="n">
        <v>125</v>
      </c>
      <c r="I14" s="16" t="n">
        <v>130</v>
      </c>
      <c r="J14" s="11" t="n">
        <v>940</v>
      </c>
      <c r="K14" s="11" t="n">
        <v>117.5</v>
      </c>
    </row>
    <row r="15">
      <c r="A15" s="9" t="inlineStr">
        <is>
          <t>Связь и интернет</t>
        </is>
      </c>
      <c r="B15" s="16" t="n">
        <v>12</v>
      </c>
      <c r="C15" s="16" t="n">
        <v>12</v>
      </c>
      <c r="D15" s="16" t="n">
        <v>12</v>
      </c>
      <c r="E15" s="16" t="n">
        <v>12</v>
      </c>
      <c r="F15" s="16" t="n">
        <v>12</v>
      </c>
      <c r="G15" s="16" t="n">
        <v>12</v>
      </c>
      <c r="H15" s="16" t="n">
        <v>12</v>
      </c>
      <c r="I15" s="16" t="n">
        <v>12</v>
      </c>
      <c r="J15" s="11" t="n">
        <v>96</v>
      </c>
      <c r="K15" s="11" t="n">
        <v>12</v>
      </c>
    </row>
    <row r="16">
      <c r="A16" s="9" t="inlineStr">
        <is>
          <t>Хознужды / прочее</t>
        </is>
      </c>
      <c r="B16" s="16" t="n">
        <v>8</v>
      </c>
      <c r="C16" s="16" t="n">
        <v>8</v>
      </c>
      <c r="D16" s="16" t="n">
        <v>8</v>
      </c>
      <c r="E16" s="16" t="n">
        <v>8</v>
      </c>
      <c r="F16" s="16" t="n">
        <v>8</v>
      </c>
      <c r="G16" s="16" t="n">
        <v>8</v>
      </c>
      <c r="H16" s="16" t="n">
        <v>8</v>
      </c>
      <c r="I16" s="16" t="n">
        <v>8</v>
      </c>
      <c r="J16" s="11" t="n">
        <v>64</v>
      </c>
      <c r="K16" s="11" t="n">
        <v>8</v>
      </c>
    </row>
    <row r="17">
      <c r="A17" s="12" t="inlineStr">
        <is>
          <t>Итого OpEx</t>
        </is>
      </c>
      <c r="B17" s="13" t="n">
        <v>485</v>
      </c>
      <c r="C17" s="13" t="n">
        <v>500</v>
      </c>
      <c r="D17" s="13" t="n">
        <v>565</v>
      </c>
      <c r="E17" s="13" t="n">
        <v>515</v>
      </c>
      <c r="F17" s="13" t="n">
        <v>465</v>
      </c>
      <c r="G17" s="13" t="n">
        <v>505</v>
      </c>
      <c r="H17" s="13" t="n">
        <v>540</v>
      </c>
      <c r="I17" s="13" t="n">
        <v>555</v>
      </c>
      <c r="J17" s="13" t="n">
        <v>4130</v>
      </c>
      <c r="K17" s="13" t="n">
        <v>516.2</v>
      </c>
    </row>
    <row r="18">
      <c r="A18" s="7" t="inlineStr">
        <is>
          <t>НАЛОГИ И КОМИССИИ (только безнал)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9" t="inlineStr">
        <is>
          <t>Доля безнала в выручке, %</t>
        </is>
      </c>
      <c r="B19" s="14" t="n">
        <v>0.46</v>
      </c>
      <c r="C19" s="14" t="n">
        <v>0.48</v>
      </c>
      <c r="D19" s="14" t="n">
        <v>0.52</v>
      </c>
      <c r="E19" s="14" t="n">
        <v>0.47</v>
      </c>
      <c r="F19" s="14" t="n">
        <v>0.45</v>
      </c>
      <c r="G19" s="14" t="n">
        <v>0.48</v>
      </c>
      <c r="H19" s="14" t="n">
        <v>0.5</v>
      </c>
      <c r="I19" s="14" t="n">
        <v>0.51</v>
      </c>
      <c r="J19" s="15" t="n">
        <v>0.48375</v>
      </c>
      <c r="K19" s="15" t="n">
        <v>0.48375</v>
      </c>
    </row>
    <row r="20">
      <c r="A20" s="9" t="inlineStr">
        <is>
          <t>Эфф. ставка на безнал (эквайринг+налог), %</t>
        </is>
      </c>
      <c r="B20" s="14" t="n">
        <v>0.044</v>
      </c>
      <c r="C20" s="14" t="n">
        <v>0.044</v>
      </c>
      <c r="D20" s="14" t="n">
        <v>0.047</v>
      </c>
      <c r="E20" s="14" t="n">
        <v>0.044</v>
      </c>
      <c r="F20" s="14" t="n">
        <v>0.043</v>
      </c>
      <c r="G20" s="14" t="n">
        <v>0.044</v>
      </c>
      <c r="H20" s="14" t="n">
        <v>0.045</v>
      </c>
      <c r="I20" s="14" t="n">
        <v>0.046</v>
      </c>
      <c r="J20" s="15" t="n">
        <v>0.04462499999999999</v>
      </c>
      <c r="K20" s="15" t="n">
        <v>0.04462499999999999</v>
      </c>
    </row>
    <row r="21">
      <c r="A21" s="9" t="inlineStr">
        <is>
          <t>Налоги/эквайринг с безнала (−)</t>
        </is>
      </c>
      <c r="B21" s="10" t="n">
        <v>114.1</v>
      </c>
      <c r="C21" s="10" t="n">
        <v>119.2</v>
      </c>
      <c r="D21" s="10" t="n">
        <v>155.8</v>
      </c>
      <c r="E21" s="10" t="n">
        <v>114.2</v>
      </c>
      <c r="F21" s="10" t="n">
        <v>101</v>
      </c>
      <c r="G21" s="10" t="n">
        <v>118.4</v>
      </c>
      <c r="H21" s="10" t="n">
        <v>133.8</v>
      </c>
      <c r="I21" s="10" t="n">
        <v>140.9</v>
      </c>
      <c r="J21" s="11" t="n">
        <v>997.4</v>
      </c>
      <c r="K21" s="11" t="n">
        <v>124.7</v>
      </c>
    </row>
    <row r="22">
      <c r="A22" s="12" t="inlineStr">
        <is>
          <t>ЧИСТАЯ ПРИБЫЛЬ</t>
        </is>
      </c>
      <c r="B22" s="17" t="n">
        <v>500</v>
      </c>
      <c r="C22" s="17" t="n">
        <v>510</v>
      </c>
      <c r="D22" s="17" t="n">
        <v>650</v>
      </c>
      <c r="E22" s="17" t="n">
        <v>420</v>
      </c>
      <c r="F22" s="17" t="n">
        <v>400</v>
      </c>
      <c r="G22" s="17" t="n">
        <v>470</v>
      </c>
      <c r="H22" s="17" t="n">
        <v>545</v>
      </c>
      <c r="I22" s="17" t="n">
        <v>565</v>
      </c>
      <c r="J22" s="17" t="n">
        <v>4060</v>
      </c>
      <c r="K22" s="17" t="n">
        <v>507.5</v>
      </c>
    </row>
    <row r="24">
      <c r="A24" s="18" t="inlineStr">
        <is>
          <t>КОНТРОЛЬ: Валовая − OpEx − Налог безнала = Чистая · проверка ≈ 0</t>
        </is>
      </c>
    </row>
    <row r="25">
      <c r="A25" s="2" t="inlineStr">
        <is>
          <t>Проверка (тыс ₽)</t>
        </is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Сравнение точек · чистая прибыль (без Lendo)</t>
        </is>
      </c>
    </row>
    <row r="3">
      <c r="A3" s="20" t="inlineStr">
        <is>
          <t>Метрика</t>
        </is>
      </c>
      <c r="B3" s="20" t="inlineStr">
        <is>
          <t>Янв</t>
        </is>
      </c>
      <c r="C3" s="20" t="inlineStr">
        <is>
          <t>Фев</t>
        </is>
      </c>
      <c r="D3" s="20" t="inlineStr">
        <is>
          <t>Мар</t>
        </is>
      </c>
      <c r="E3" s="20" t="inlineStr">
        <is>
          <t>Апр</t>
        </is>
      </c>
      <c r="F3" s="20" t="inlineStr">
        <is>
          <t>Май</t>
        </is>
      </c>
      <c r="G3" s="20" t="inlineStr">
        <is>
          <t>Июн</t>
        </is>
      </c>
      <c r="H3" s="20" t="inlineStr">
        <is>
          <t>Июл</t>
        </is>
      </c>
      <c r="I3" s="20" t="inlineStr">
        <is>
          <t>Авг</t>
        </is>
      </c>
      <c r="J3" s="20" t="inlineStr">
        <is>
          <t>Итого</t>
        </is>
      </c>
    </row>
    <row r="4">
      <c r="A4" s="21" t="inlineStr">
        <is>
          <t>Улан-Удэ · Чистая</t>
        </is>
      </c>
      <c r="B4" s="22" t="n">
        <v>890</v>
      </c>
      <c r="C4" s="22" t="n">
        <v>900</v>
      </c>
      <c r="D4" s="22" t="n">
        <v>1100</v>
      </c>
      <c r="E4" s="22" t="n">
        <v>780</v>
      </c>
      <c r="F4" s="22" t="n">
        <v>750</v>
      </c>
      <c r="G4" s="22" t="n">
        <v>850</v>
      </c>
      <c r="H4" s="22" t="n">
        <v>950</v>
      </c>
      <c r="I4" s="22" t="n">
        <v>980</v>
      </c>
      <c r="J4" s="23" t="n">
        <v>7200</v>
      </c>
    </row>
    <row r="5">
      <c r="A5" s="21" t="inlineStr">
        <is>
          <t>Иркутск · Чистая</t>
        </is>
      </c>
      <c r="B5" s="22" t="n">
        <v>500</v>
      </c>
      <c r="C5" s="22" t="n">
        <v>510</v>
      </c>
      <c r="D5" s="22" t="n">
        <v>650</v>
      </c>
      <c r="E5" s="22" t="n">
        <v>420</v>
      </c>
      <c r="F5" s="22" t="n">
        <v>400</v>
      </c>
      <c r="G5" s="22" t="n">
        <v>470</v>
      </c>
      <c r="H5" s="22" t="n">
        <v>545</v>
      </c>
      <c r="I5" s="22" t="n">
        <v>565</v>
      </c>
      <c r="J5" s="23" t="n">
        <v>4060</v>
      </c>
    </row>
    <row r="6">
      <c r="A6" s="9" t="inlineStr">
        <is>
          <t>Δ чистая (УУ − Ирк)</t>
        </is>
      </c>
      <c r="B6" s="23" t="n">
        <v>390</v>
      </c>
      <c r="C6" s="23" t="n">
        <v>390</v>
      </c>
      <c r="D6" s="23" t="n">
        <v>450</v>
      </c>
      <c r="E6" s="23" t="n">
        <v>360</v>
      </c>
      <c r="F6" s="23" t="n">
        <v>350</v>
      </c>
      <c r="G6" s="23" t="n">
        <v>380</v>
      </c>
      <c r="H6" s="23" t="n">
        <v>405</v>
      </c>
      <c r="I6" s="23" t="n">
        <v>415</v>
      </c>
      <c r="J6" s="11" t="n">
        <v>3140</v>
      </c>
    </row>
    <row r="7">
      <c r="A7" s="9" t="inlineStr">
        <is>
          <t>УУ · Выручка</t>
        </is>
      </c>
      <c r="B7" s="23" t="n">
        <v>7931.6</v>
      </c>
      <c r="C7" s="23" t="n">
        <v>7890.4</v>
      </c>
      <c r="D7" s="23" t="n">
        <v>8832.6</v>
      </c>
      <c r="E7" s="23" t="n">
        <v>7719</v>
      </c>
      <c r="F7" s="23" t="n">
        <v>7412</v>
      </c>
      <c r="G7" s="23" t="n">
        <v>7859.2</v>
      </c>
      <c r="H7" s="23" t="n">
        <v>8249.1</v>
      </c>
      <c r="I7" s="23" t="n">
        <v>8311.9</v>
      </c>
      <c r="J7" s="11" t="n">
        <v>64205.8</v>
      </c>
    </row>
    <row r="8">
      <c r="A8" s="9" t="inlineStr">
        <is>
          <t>Ирк · Выручка</t>
        </is>
      </c>
      <c r="B8" s="23" t="n">
        <v>5636.3</v>
      </c>
      <c r="C8" s="23" t="n">
        <v>5646.2</v>
      </c>
      <c r="D8" s="23" t="n">
        <v>6375.9</v>
      </c>
      <c r="E8" s="23" t="n">
        <v>5522.1</v>
      </c>
      <c r="F8" s="23" t="n">
        <v>5221.9</v>
      </c>
      <c r="G8" s="23" t="n">
        <v>5607.3</v>
      </c>
      <c r="H8" s="23" t="n">
        <v>5945.2</v>
      </c>
      <c r="I8" s="23" t="n">
        <v>6004.1</v>
      </c>
      <c r="J8" s="11" t="n">
        <v>45959</v>
      </c>
    </row>
    <row r="9">
      <c r="A9" s="9" t="inlineStr">
        <is>
          <t>УУ · OpEx</t>
        </is>
      </c>
      <c r="B9" s="23" t="n">
        <v>525</v>
      </c>
      <c r="C9" s="23" t="n">
        <v>540</v>
      </c>
      <c r="D9" s="23" t="n">
        <v>610</v>
      </c>
      <c r="E9" s="23" t="n">
        <v>555</v>
      </c>
      <c r="F9" s="23" t="n">
        <v>505</v>
      </c>
      <c r="G9" s="23" t="n">
        <v>545</v>
      </c>
      <c r="H9" s="23" t="n">
        <v>585</v>
      </c>
      <c r="I9" s="23" t="n">
        <v>600</v>
      </c>
      <c r="J9" s="11" t="n">
        <v>4465</v>
      </c>
    </row>
    <row r="10">
      <c r="A10" s="9" t="inlineStr">
        <is>
          <t>Ирк · OpEx</t>
        </is>
      </c>
      <c r="B10" s="23" t="n">
        <v>485</v>
      </c>
      <c r="C10" s="23" t="n">
        <v>500</v>
      </c>
      <c r="D10" s="23" t="n">
        <v>565</v>
      </c>
      <c r="E10" s="23" t="n">
        <v>515</v>
      </c>
      <c r="F10" s="23" t="n">
        <v>465</v>
      </c>
      <c r="G10" s="23" t="n">
        <v>505</v>
      </c>
      <c r="H10" s="23" t="n">
        <v>540</v>
      </c>
      <c r="I10" s="23" t="n">
        <v>555</v>
      </c>
      <c r="J10" s="11" t="n">
        <v>4130</v>
      </c>
    </row>
    <row r="11">
      <c r="A11" s="9" t="inlineStr">
        <is>
          <t>Δ Аренда (УУ−Ирк)</t>
        </is>
      </c>
      <c r="B11" s="23" t="n">
        <v>10</v>
      </c>
      <c r="C11" s="23" t="n">
        <v>10</v>
      </c>
      <c r="D11" s="23" t="n">
        <v>10</v>
      </c>
      <c r="E11" s="23" t="n">
        <v>10</v>
      </c>
      <c r="F11" s="23" t="n">
        <v>10</v>
      </c>
      <c r="G11" s="23" t="n">
        <v>10</v>
      </c>
      <c r="H11" s="23" t="n">
        <v>10</v>
      </c>
      <c r="I11" s="23" t="n">
        <v>10</v>
      </c>
      <c r="J11" s="11" t="n">
        <v>80</v>
      </c>
    </row>
    <row r="12">
      <c r="A12" s="24" t="inlineStr">
        <is>
          <t>Сводка</t>
        </is>
      </c>
      <c r="B12" s="23" t="n">
        <v>15</v>
      </c>
      <c r="C12" s="23" t="n">
        <v>15</v>
      </c>
      <c r="D12" s="23" t="n">
        <v>15</v>
      </c>
      <c r="E12" s="23" t="n">
        <v>15</v>
      </c>
      <c r="F12" s="23" t="n">
        <v>15</v>
      </c>
      <c r="G12" s="23" t="n">
        <v>15</v>
      </c>
      <c r="H12" s="23" t="n">
        <v>15</v>
      </c>
      <c r="I12" s="23" t="n">
        <v>15</v>
      </c>
      <c r="J12" s="11" t="n">
        <v>120</v>
      </c>
    </row>
    <row r="13">
      <c r="A13" s="9" t="inlineStr">
        <is>
          <t>УУ средняя чистая / мес</t>
        </is>
      </c>
      <c r="B13" s="22" t="n">
        <v>900</v>
      </c>
      <c r="C13" s="23" t="inlineStr">
        <is>
          <t>тыс ₽</t>
        </is>
      </c>
      <c r="D13" s="23" t="n">
        <v>15</v>
      </c>
      <c r="E13" s="23" t="n">
        <v>10</v>
      </c>
      <c r="F13" s="23" t="n">
        <v>10</v>
      </c>
      <c r="G13" s="23" t="n">
        <v>10</v>
      </c>
      <c r="H13" s="23" t="n">
        <v>15</v>
      </c>
      <c r="I13" s="23" t="n">
        <v>15</v>
      </c>
      <c r="J13" s="11" t="n">
        <v>95</v>
      </c>
    </row>
    <row r="14">
      <c r="A14" t="inlineStr">
        <is>
          <t>Ирк средняя чистая / мес</t>
        </is>
      </c>
      <c r="B14" s="25" t="n">
        <v>507.5</v>
      </c>
      <c r="C14" t="inlineStr">
        <is>
          <t>тыс ₽</t>
        </is>
      </c>
    </row>
    <row r="15">
      <c r="A15" t="inlineStr">
        <is>
          <t>УУ средняя выручка / мес</t>
        </is>
      </c>
      <c r="B15" s="25" t="n">
        <v>8025.7</v>
      </c>
      <c r="C15" t="inlineStr">
        <is>
          <t>тыс ₽</t>
        </is>
      </c>
    </row>
    <row r="16">
      <c r="A16" t="inlineStr">
        <is>
          <t>Ирк средняя выручка / мес</t>
        </is>
      </c>
      <c r="B16" s="25" t="n">
        <v>5744.9</v>
      </c>
      <c r="C16" t="inlineStr">
        <is>
          <t>тыс ₽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Операционные затраты · сверка с лимитами (без Lendo)</t>
        </is>
      </c>
    </row>
    <row r="3">
      <c r="A3" s="26" t="inlineStr">
        <is>
          <t>Лимиты (задание)</t>
        </is>
      </c>
    </row>
    <row r="4">
      <c r="A4" s="3" t="inlineStr">
        <is>
          <t>Аренда</t>
        </is>
      </c>
      <c r="B4" s="2" t="inlineStr">
        <is>
          <t>100 тыс ₽/мес (УУ); Ирк −10 тыс</t>
        </is>
      </c>
    </row>
    <row r="5">
      <c r="A5" s="3" t="inlineStr">
        <is>
          <t>ФОТ</t>
        </is>
      </c>
      <c r="B5" s="2" t="inlineStr">
        <is>
          <t>250–350 тыс ₽/мес</t>
        </is>
      </c>
    </row>
    <row r="6">
      <c r="A6" s="3" t="inlineStr">
        <is>
          <t>Реклама + Avito</t>
        </is>
      </c>
      <c r="B6" s="2" t="inlineStr">
        <is>
          <t>100–150 тыс ₽/мес</t>
        </is>
      </c>
    </row>
    <row r="7">
      <c r="A7" s="3" t="inlineStr">
        <is>
          <t>Связь + интернет</t>
        </is>
      </c>
      <c r="B7" s="2" t="inlineStr">
        <is>
          <t>15 тыс ₽/мес (УУ); Ирк 12</t>
        </is>
      </c>
    </row>
    <row r="8">
      <c r="A8" s="3" t="inlineStr">
        <is>
          <t>Хознужды</t>
        </is>
      </c>
      <c r="B8" s="2" t="inlineStr">
        <is>
          <t>10 тыс ₽/мес (УУ); Ирк 8</t>
        </is>
      </c>
    </row>
    <row r="9">
      <c r="A9" s="3" t="inlineStr">
        <is>
          <t>Налоги</t>
        </is>
      </c>
      <c r="B9" s="2" t="inlineStr">
        <is>
          <t>только безнал: р/с / кредит / рассрочка / терминал</t>
        </is>
      </c>
    </row>
    <row r="10">
      <c r="A10" s="3" t="inlineStr">
        <is>
          <t>Lendo</t>
        </is>
      </c>
      <c r="B10" s="2" t="inlineStr">
        <is>
          <t>НЕ включён в эту версию</t>
        </is>
      </c>
    </row>
    <row r="12">
      <c r="A12" s="26" t="inlineStr">
        <is>
          <t>Улан-Удэ · помесячно</t>
        </is>
      </c>
    </row>
    <row r="13">
      <c r="A13" s="20" t="inlineStr">
        <is>
          <t>Статья</t>
        </is>
      </c>
      <c r="B13" s="20" t="inlineStr">
        <is>
          <t>Янв</t>
        </is>
      </c>
      <c r="C13" s="20" t="inlineStr">
        <is>
          <t>Фев</t>
        </is>
      </c>
      <c r="D13" s="20" t="inlineStr">
        <is>
          <t>Мар</t>
        </is>
      </c>
      <c r="E13" s="20" t="inlineStr">
        <is>
          <t>Апр</t>
        </is>
      </c>
      <c r="F13" s="20" t="inlineStr">
        <is>
          <t>Май</t>
        </is>
      </c>
      <c r="G13" s="20" t="inlineStr">
        <is>
          <t>Июн</t>
        </is>
      </c>
      <c r="H13" s="20" t="inlineStr">
        <is>
          <t>Июл</t>
        </is>
      </c>
      <c r="I13" s="20" t="inlineStr">
        <is>
          <t>Авг</t>
        </is>
      </c>
      <c r="J13" s="20" t="inlineStr">
        <is>
          <t>Min</t>
        </is>
      </c>
      <c r="K13" s="20" t="inlineStr">
        <is>
          <t>Max</t>
        </is>
      </c>
      <c r="L13" s="20" t="inlineStr">
        <is>
          <t>В лимите?</t>
        </is>
      </c>
    </row>
    <row r="14">
      <c r="A14" s="21" t="inlineStr">
        <is>
          <t>Аренда</t>
        </is>
      </c>
      <c r="B14" s="27" t="n">
        <v>100</v>
      </c>
      <c r="C14" s="27" t="n">
        <v>100</v>
      </c>
      <c r="D14" s="27" t="n">
        <v>100</v>
      </c>
      <c r="E14" s="27" t="n">
        <v>100</v>
      </c>
      <c r="F14" s="27" t="n">
        <v>100</v>
      </c>
      <c r="G14" s="27" t="n">
        <v>100</v>
      </c>
      <c r="H14" s="27" t="n">
        <v>100</v>
      </c>
      <c r="I14" s="27" t="n">
        <v>100</v>
      </c>
      <c r="J14" s="23" t="n">
        <v>100</v>
      </c>
      <c r="K14" s="23" t="n">
        <v>100</v>
      </c>
      <c r="L14" s="28" t="inlineStr">
        <is>
          <t>ДА</t>
        </is>
      </c>
    </row>
    <row r="15">
      <c r="A15" s="21" t="inlineStr">
        <is>
          <t>ФОТ</t>
        </is>
      </c>
      <c r="B15" s="27" t="n">
        <v>280</v>
      </c>
      <c r="C15" s="27" t="n">
        <v>290</v>
      </c>
      <c r="D15" s="27" t="n">
        <v>340</v>
      </c>
      <c r="E15" s="27" t="n">
        <v>300</v>
      </c>
      <c r="F15" s="27" t="n">
        <v>270</v>
      </c>
      <c r="G15" s="27" t="n">
        <v>300</v>
      </c>
      <c r="H15" s="27" t="n">
        <v>320</v>
      </c>
      <c r="I15" s="27" t="n">
        <v>330</v>
      </c>
      <c r="J15" s="23" t="n">
        <v>250</v>
      </c>
      <c r="K15" s="23" t="n">
        <v>350</v>
      </c>
      <c r="L15" s="28" t="inlineStr">
        <is>
          <t>ДА</t>
        </is>
      </c>
    </row>
    <row r="16">
      <c r="A16" s="21" t="inlineStr">
        <is>
          <t>Реклама</t>
        </is>
      </c>
      <c r="B16" s="27" t="n">
        <v>120</v>
      </c>
      <c r="C16" s="27" t="n">
        <v>125</v>
      </c>
      <c r="D16" s="27" t="n">
        <v>145</v>
      </c>
      <c r="E16" s="27" t="n">
        <v>130</v>
      </c>
      <c r="F16" s="27" t="n">
        <v>110</v>
      </c>
      <c r="G16" s="27" t="n">
        <v>120</v>
      </c>
      <c r="H16" s="27" t="n">
        <v>140</v>
      </c>
      <c r="I16" s="27" t="n">
        <v>145</v>
      </c>
      <c r="J16" s="23" t="n">
        <v>100</v>
      </c>
      <c r="K16" s="23" t="n">
        <v>150</v>
      </c>
      <c r="L16" s="28" t="inlineStr">
        <is>
          <t>ДА</t>
        </is>
      </c>
    </row>
    <row r="17">
      <c r="A17" s="21" t="inlineStr">
        <is>
          <t>Связь</t>
        </is>
      </c>
      <c r="B17" s="27" t="n">
        <v>15</v>
      </c>
      <c r="C17" s="27" t="n">
        <v>15</v>
      </c>
      <c r="D17" s="27" t="n">
        <v>15</v>
      </c>
      <c r="E17" s="27" t="n">
        <v>15</v>
      </c>
      <c r="F17" s="27" t="n">
        <v>15</v>
      </c>
      <c r="G17" s="27" t="n">
        <v>15</v>
      </c>
      <c r="H17" s="27" t="n">
        <v>15</v>
      </c>
      <c r="I17" s="27" t="n">
        <v>15</v>
      </c>
      <c r="J17" s="23" t="n">
        <v>15</v>
      </c>
      <c r="K17" s="23" t="n">
        <v>15</v>
      </c>
      <c r="L17" s="28" t="inlineStr">
        <is>
          <t>ДА</t>
        </is>
      </c>
    </row>
    <row r="18">
      <c r="A18" s="21" t="inlineStr">
        <is>
          <t>Хознужды</t>
        </is>
      </c>
      <c r="B18" s="27" t="n">
        <v>10</v>
      </c>
      <c r="C18" s="27" t="n">
        <v>10</v>
      </c>
      <c r="D18" s="27" t="n">
        <v>10</v>
      </c>
      <c r="E18" s="27" t="n">
        <v>10</v>
      </c>
      <c r="F18" s="27" t="n">
        <v>10</v>
      </c>
      <c r="G18" s="27" t="n">
        <v>10</v>
      </c>
      <c r="H18" s="27" t="n">
        <v>10</v>
      </c>
      <c r="I18" s="27" t="n">
        <v>10</v>
      </c>
      <c r="J18" s="23" t="n">
        <v>10</v>
      </c>
      <c r="K18" s="23" t="n">
        <v>10</v>
      </c>
      <c r="L18" s="28" t="inlineStr">
        <is>
          <t>ДА</t>
        </is>
      </c>
    </row>
    <row r="20">
      <c r="A20" s="26" t="inlineStr">
        <is>
          <t>Иркутск · помесячно</t>
        </is>
      </c>
    </row>
    <row r="21">
      <c r="A21" s="20" t="inlineStr">
        <is>
          <t>Статья</t>
        </is>
      </c>
      <c r="B21" s="20" t="inlineStr">
        <is>
          <t>Янв</t>
        </is>
      </c>
      <c r="C21" s="20" t="inlineStr">
        <is>
          <t>Фев</t>
        </is>
      </c>
      <c r="D21" s="20" t="inlineStr">
        <is>
          <t>Мар</t>
        </is>
      </c>
      <c r="E21" s="20" t="inlineStr">
        <is>
          <t>Апр</t>
        </is>
      </c>
      <c r="F21" s="20" t="inlineStr">
        <is>
          <t>Май</t>
        </is>
      </c>
      <c r="G21" s="20" t="inlineStr">
        <is>
          <t>Июн</t>
        </is>
      </c>
      <c r="H21" s="20" t="inlineStr">
        <is>
          <t>Июл</t>
        </is>
      </c>
      <c r="I21" s="20" t="inlineStr">
        <is>
          <t>Авг</t>
        </is>
      </c>
      <c r="J21" s="20" t="inlineStr">
        <is>
          <t>Min</t>
        </is>
      </c>
      <c r="K21" s="20" t="inlineStr">
        <is>
          <t>Max</t>
        </is>
      </c>
      <c r="L21" s="20" t="inlineStr">
        <is>
          <t>В лимите?</t>
        </is>
      </c>
    </row>
    <row r="22">
      <c r="A22" s="21" t="inlineStr">
        <is>
          <t>Аренда</t>
        </is>
      </c>
      <c r="B22" s="27" t="n">
        <v>90</v>
      </c>
      <c r="C22" s="27" t="n">
        <v>90</v>
      </c>
      <c r="D22" s="27" t="n">
        <v>90</v>
      </c>
      <c r="E22" s="27" t="n">
        <v>90</v>
      </c>
      <c r="F22" s="27" t="n">
        <v>90</v>
      </c>
      <c r="G22" s="27" t="n">
        <v>90</v>
      </c>
      <c r="H22" s="27" t="n">
        <v>90</v>
      </c>
      <c r="I22" s="27" t="n">
        <v>90</v>
      </c>
      <c r="J22" s="23" t="n">
        <v>90</v>
      </c>
      <c r="K22" s="23" t="n">
        <v>90</v>
      </c>
      <c r="L22" s="28" t="inlineStr">
        <is>
          <t>ДА</t>
        </is>
      </c>
    </row>
    <row r="23">
      <c r="A23" s="21" t="inlineStr">
        <is>
          <t>ФОТ</t>
        </is>
      </c>
      <c r="B23" s="27" t="n">
        <v>265</v>
      </c>
      <c r="C23" s="27" t="n">
        <v>275</v>
      </c>
      <c r="D23" s="27" t="n">
        <v>325</v>
      </c>
      <c r="E23" s="27" t="n">
        <v>285</v>
      </c>
      <c r="F23" s="27" t="n">
        <v>255</v>
      </c>
      <c r="G23" s="27" t="n">
        <v>285</v>
      </c>
      <c r="H23" s="27" t="n">
        <v>305</v>
      </c>
      <c r="I23" s="27" t="n">
        <v>315</v>
      </c>
      <c r="J23" s="23" t="n">
        <v>250</v>
      </c>
      <c r="K23" s="23" t="n">
        <v>350</v>
      </c>
      <c r="L23" s="28" t="inlineStr">
        <is>
          <t>ДА</t>
        </is>
      </c>
    </row>
    <row r="24">
      <c r="A24" s="21" t="inlineStr">
        <is>
          <t>Реклама</t>
        </is>
      </c>
      <c r="B24" s="27" t="n">
        <v>110</v>
      </c>
      <c r="C24" s="27" t="n">
        <v>115</v>
      </c>
      <c r="D24" s="27" t="n">
        <v>130</v>
      </c>
      <c r="E24" s="27" t="n">
        <v>120</v>
      </c>
      <c r="F24" s="27" t="n">
        <v>100</v>
      </c>
      <c r="G24" s="27" t="n">
        <v>110</v>
      </c>
      <c r="H24" s="27" t="n">
        <v>125</v>
      </c>
      <c r="I24" s="27" t="n">
        <v>130</v>
      </c>
      <c r="J24" s="23" t="n">
        <v>100</v>
      </c>
      <c r="K24" s="23" t="n">
        <v>150</v>
      </c>
      <c r="L24" s="28" t="inlineStr">
        <is>
          <t>ДА</t>
        </is>
      </c>
    </row>
    <row r="25">
      <c r="A25" s="21" t="inlineStr">
        <is>
          <t>Связь</t>
        </is>
      </c>
      <c r="B25" s="27" t="n">
        <v>12</v>
      </c>
      <c r="C25" s="27" t="n">
        <v>12</v>
      </c>
      <c r="D25" s="27" t="n">
        <v>12</v>
      </c>
      <c r="E25" s="27" t="n">
        <v>12</v>
      </c>
      <c r="F25" s="27" t="n">
        <v>12</v>
      </c>
      <c r="G25" s="27" t="n">
        <v>12</v>
      </c>
      <c r="H25" s="27" t="n">
        <v>12</v>
      </c>
      <c r="I25" s="27" t="n">
        <v>12</v>
      </c>
      <c r="J25" s="23" t="n">
        <v>12</v>
      </c>
      <c r="K25" s="23" t="n">
        <v>12</v>
      </c>
      <c r="L25" s="28" t="inlineStr">
        <is>
          <t>ДА</t>
        </is>
      </c>
    </row>
    <row r="26">
      <c r="A26" s="21" t="inlineStr">
        <is>
          <t>Хознужды</t>
        </is>
      </c>
      <c r="B26" s="27" t="n">
        <v>8</v>
      </c>
      <c r="C26" s="27" t="n">
        <v>8</v>
      </c>
      <c r="D26" s="27" t="n">
        <v>8</v>
      </c>
      <c r="E26" s="27" t="n">
        <v>8</v>
      </c>
      <c r="F26" s="27" t="n">
        <v>8</v>
      </c>
      <c r="G26" s="27" t="n">
        <v>8</v>
      </c>
      <c r="H26" s="27" t="n">
        <v>8</v>
      </c>
      <c r="I26" s="27" t="n">
        <v>8</v>
      </c>
      <c r="J26" s="23" t="n">
        <v>8</v>
      </c>
      <c r="K26" s="23" t="n">
        <v>8</v>
      </c>
      <c r="L26" s="28" t="inlineStr">
        <is>
          <t>ДА</t>
        </is>
      </c>
    </row>
    <row r="29">
      <c r="A29" s="26" t="inlineStr">
        <is>
          <t>Δ УУ − Ирк (крупные статьи: ожидаемо 10–15к)</t>
        </is>
      </c>
    </row>
    <row r="30">
      <c r="A30" s="20" t="inlineStr">
        <is>
          <t>Статья</t>
        </is>
      </c>
      <c r="B30" s="20" t="inlineStr">
        <is>
          <t>Янв</t>
        </is>
      </c>
      <c r="C30" s="20" t="inlineStr">
        <is>
          <t>Фев</t>
        </is>
      </c>
      <c r="D30" s="20" t="inlineStr">
        <is>
          <t>Мар</t>
        </is>
      </c>
      <c r="E30" s="20" t="inlineStr">
        <is>
          <t>Апр</t>
        </is>
      </c>
      <c r="F30" s="20" t="inlineStr">
        <is>
          <t>Май</t>
        </is>
      </c>
      <c r="G30" s="20" t="inlineStr">
        <is>
          <t>Июн</t>
        </is>
      </c>
      <c r="H30" s="20" t="inlineStr">
        <is>
          <t>Июл</t>
        </is>
      </c>
      <c r="I30" s="20" t="inlineStr">
        <is>
          <t>Авг</t>
        </is>
      </c>
      <c r="J30" s="20" t="inlineStr">
        <is>
          <t>Средняя Δ</t>
        </is>
      </c>
    </row>
    <row r="31">
      <c r="A31" s="21" t="inlineStr">
        <is>
          <t>Аренда</t>
        </is>
      </c>
      <c r="B31" s="29" t="n">
        <v>10</v>
      </c>
      <c r="C31" s="29" t="n">
        <v>10</v>
      </c>
      <c r="D31" s="29" t="n">
        <v>10</v>
      </c>
      <c r="E31" s="29" t="n">
        <v>10</v>
      </c>
      <c r="F31" s="29" t="n">
        <v>10</v>
      </c>
      <c r="G31" s="29" t="n">
        <v>10</v>
      </c>
      <c r="H31" s="29" t="n">
        <v>10</v>
      </c>
      <c r="I31" s="29" t="n">
        <v>10</v>
      </c>
      <c r="J31" s="23" t="n">
        <v>10</v>
      </c>
    </row>
    <row r="32">
      <c r="A32" s="21" t="inlineStr">
        <is>
          <t>ФОТ</t>
        </is>
      </c>
      <c r="B32" s="29" t="n">
        <v>15</v>
      </c>
      <c r="C32" s="29" t="n">
        <v>15</v>
      </c>
      <c r="D32" s="29" t="n">
        <v>15</v>
      </c>
      <c r="E32" s="29" t="n">
        <v>15</v>
      </c>
      <c r="F32" s="29" t="n">
        <v>15</v>
      </c>
      <c r="G32" s="29" t="n">
        <v>15</v>
      </c>
      <c r="H32" s="29" t="n">
        <v>15</v>
      </c>
      <c r="I32" s="29" t="n">
        <v>15</v>
      </c>
      <c r="J32" s="23" t="n">
        <v>15</v>
      </c>
    </row>
    <row r="33">
      <c r="A33" s="21" t="inlineStr">
        <is>
          <t>Реклама</t>
        </is>
      </c>
      <c r="B33" s="29" t="n">
        <v>10</v>
      </c>
      <c r="C33" s="29" t="n">
        <v>10</v>
      </c>
      <c r="D33" s="29" t="n">
        <v>15</v>
      </c>
      <c r="E33" s="29" t="n">
        <v>10</v>
      </c>
      <c r="F33" s="29" t="n">
        <v>10</v>
      </c>
      <c r="G33" s="29" t="n">
        <v>10</v>
      </c>
      <c r="H33" s="29" t="n">
        <v>15</v>
      </c>
      <c r="I33" s="29" t="n">
        <v>15</v>
      </c>
      <c r="J33" s="2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2026-09-07T04:06:45Z</dcterms:created>
  <dcterms:modified xsi:type="dcterms:W3CDTF">2026-09-07T04:06:45Z</dcterms:modified>
</cp:coreProperties>
</file>